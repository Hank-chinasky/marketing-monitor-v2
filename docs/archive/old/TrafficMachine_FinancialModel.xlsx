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&amp; Runway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<sst xmlns="http://schemas.openxmlformats.org/spreadsheetml/2006/main" count="141" uniqueCount="128">
  <si>
    <t xml:space="preserve">Traffic Machine — Assumptions (2-Phase Model)</t>
  </si>
  <si>
    <t xml:space="preserve">NinfraEU  |  Phase 1: Creator/Agency (Apr–Jun)  →  Phase 2: SaaS (Jul+)</t>
  </si>
  <si>
    <t xml:space="preserve">→ P&amp;L &amp; Runway</t>
  </si>
  <si>
    <t xml:space="preserve">→ Scenarios</t>
  </si>
  <si>
    <t xml:space="preserve">PHASE 1 — CREATOR/AGENCY REVENUE (Apr–Jun 2026)</t>
  </si>
  <si>
    <t xml:space="preserve">Assumption</t>
  </si>
  <si>
    <t xml:space="preserve">Value</t>
  </si>
  <si>
    <t xml:space="preserve">Rationale</t>
  </si>
  <si>
    <t xml:space="preserve">Creator accounts managed</t>
  </si>
  <si>
    <t xml:space="preserve">Start with 2-3 creators. Manageable solo while building/testing the tool.</t>
  </si>
  <si>
    <t xml:space="preserve">Avg gross revenue per creator (€/mo)</t>
  </si>
  <si>
    <t xml:space="preserve">Mid-tier creators. Conservative — top creators do 5-10x this. Ramps with traffic.</t>
  </si>
  <si>
    <t xml:space="preserve">Your revenue share (%)</t>
  </si>
  <si>
    <t xml:space="preserve">25% management fee is standard for creator agencies. Some charge 30-50%.</t>
  </si>
  <si>
    <t xml:space="preserve">Month 1 ramp (% of full capacity)</t>
  </si>
  <si>
    <t xml:space="preserve">40% — onboarding creators, setting up funnels. Tool is still being tested.</t>
  </si>
  <si>
    <t xml:space="preserve">Month 2 ramp</t>
  </si>
  <si>
    <t xml:space="preserve">70% — funnels active, traffic growing, creator content optimized.</t>
  </si>
  <si>
    <t xml:space="preserve">Month 3 ramp</t>
  </si>
  <si>
    <t xml:space="preserve">100% — full capacity. Traffic Machine is working, creators producing.</t>
  </si>
  <si>
    <t xml:space="preserve">Platform fees (OF/payment %)</t>
  </si>
  <si>
    <t xml:space="preserve">OnlyFans takes 20%. This reduces the gross pool before your share.</t>
  </si>
  <si>
    <t xml:space="preserve">Target monthly income (full capacity)</t>
  </si>
  <si>
    <t xml:space="preserve">PHASE 2 — SaaS REVENUE (Jul 2026+, for reference)</t>
  </si>
  <si>
    <t xml:space="preserve">SaaS price (€/user/month)</t>
  </si>
  <si>
    <t xml:space="preserve">Mid-range creator SaaS. Competitive with Metricool/Taplio at €29-79/mo.</t>
  </si>
  <si>
    <t xml:space="preserve">Starting paying users at SaaS launch</t>
  </si>
  <si>
    <t xml:space="preserve">First customers from your creator network. They've seen the tool work.</t>
  </si>
  <si>
    <t xml:space="preserve">Monthly user growth rate</t>
  </si>
  <si>
    <t xml:space="preserve">30% MoM — more realistic than 40% since you'll have product proof.</t>
  </si>
  <si>
    <t xml:space="preserve">Monthly churn rate</t>
  </si>
  <si>
    <t xml:space="preserve">8% — lower than typical early-stage because product is already tested.</t>
  </si>
  <si>
    <t xml:space="preserve">Expected SaaS launch</t>
  </si>
  <si>
    <t xml:space="preserve">Jul 2026</t>
  </si>
  <si>
    <t xml:space="preserve">After 3-month Phase 1 test. Could be earlier if product proves out fast.</t>
  </si>
  <si>
    <t xml:space="preserve">COSTS (monthly, both phases)</t>
  </si>
  <si>
    <t xml:space="preserve">Cost Item</t>
  </si>
  <si>
    <t xml:space="preserve">€/month</t>
  </si>
  <si>
    <t xml:space="preserve">VPS / Hosting (Docker stack)</t>
  </si>
  <si>
    <t xml:space="preserve">Hetzner/Contabo VPS. FastAPI + DB + containers. Scales to ~500 users.</t>
  </si>
  <si>
    <t xml:space="preserve">API costs (OpenAI, AI services)</t>
  </si>
  <si>
    <t xml:space="preserve">GPT-4 API for content intelligence. Usage-based, scales with activity.</t>
  </si>
  <si>
    <t xml:space="preserve">SaaS tools (GitHub, monitoring, email)</t>
  </si>
  <si>
    <t xml:space="preserve">GitHub Pro, Sentry, Mailgun/Resend, analytics. Essential dev/ops.</t>
  </si>
  <si>
    <t xml:space="preserve">Domain + CDN + SSL</t>
  </si>
  <si>
    <t xml:space="preserve">Domain registration, Cloudflare. Minimal fixed cost.</t>
  </si>
  <si>
    <t xml:space="preserve">Marketing &amp; content (ads, tools)</t>
  </si>
  <si>
    <t xml:space="preserve">LinkedIn/social ads, content tools. Organic-first; this is the floor.</t>
  </si>
  <si>
    <t xml:space="preserve">Legal / accounting (amortized)</t>
  </si>
  <si>
    <t xml:space="preserve">Quarterly accountant + compliance, averaged monthly.</t>
  </si>
  <si>
    <t xml:space="preserve">Personal allocation (founder draw)</t>
  </si>
  <si>
    <t xml:space="preserve">Below minimum wage — reinvesting time. Covers essentials only.</t>
  </si>
  <si>
    <t xml:space="preserve">TOTAL FIXED MONTHLY COSTS</t>
  </si>
  <si>
    <t xml:space="preserve">CASH &amp; PAYMENT PROCESSING</t>
  </si>
  <si>
    <t xml:space="preserve">Item</t>
  </si>
  <si>
    <t xml:space="preserve">Notes</t>
  </si>
  <si>
    <t xml:space="preserve">Starting cash (April 2026)</t>
  </si>
  <si>
    <t xml:space="preserve">Available cash to fund operations. Adjust to your actual position.</t>
  </si>
  <si>
    <t xml:space="preserve">Additional monthly income (outside TM)</t>
  </si>
  <si>
    <t xml:space="preserve">Any side income not from Traffic Machine. Set to 0 if none.</t>
  </si>
  <si>
    <t xml:space="preserve">Traffic Machine — P&amp;L &amp; Runway (Phase 1: Creator/Agency)</t>
  </si>
  <si>
    <t xml:space="preserve">Apr–Jun 2026  |  Blue = input  |  Black = formula  |  Green = cross-sheet</t>
  </si>
  <si>
    <t xml:space="preserve">← Assumptions</t>
  </si>
  <si>
    <t xml:space="preserve">Apr 2026</t>
  </si>
  <si>
    <t xml:space="preserve">May 2026</t>
  </si>
  <si>
    <t xml:space="preserve">Jun 2026</t>
  </si>
  <si>
    <t xml:space="preserve">TOTAL</t>
  </si>
  <si>
    <t xml:space="preserve">CREATOR/AGENCY REVENUE</t>
  </si>
  <si>
    <t xml:space="preserve">Creators managed</t>
  </si>
  <si>
    <t xml:space="preserve">Avg gross revenue / creator</t>
  </si>
  <si>
    <t xml:space="preserve">Ramp factor (capacity %)</t>
  </si>
  <si>
    <t xml:space="preserve">Total gross creator revenue</t>
  </si>
  <si>
    <t xml:space="preserve">  - Platform fees (OF 20%)</t>
  </si>
  <si>
    <t xml:space="preserve">Net creator revenue (after platform)</t>
  </si>
  <si>
    <t xml:space="preserve">YOUR REVENUE (agency share)</t>
  </si>
  <si>
    <t xml:space="preserve">Other income</t>
  </si>
  <si>
    <t xml:space="preserve">TOTAL REVENUE</t>
  </si>
  <si>
    <t xml:space="preserve">COSTS (OPEX)</t>
  </si>
  <si>
    <t xml:space="preserve">VPS / Hosting</t>
  </si>
  <si>
    <t xml:space="preserve">API costs (OpenAI, AI)</t>
  </si>
  <si>
    <t xml:space="preserve">SaaS tools</t>
  </si>
  <si>
    <t xml:space="preserve">Domain + CDN</t>
  </si>
  <si>
    <t xml:space="preserve">Marketing &amp; content</t>
  </si>
  <si>
    <t xml:space="preserve">Legal / accounting</t>
  </si>
  <si>
    <t xml:space="preserve">Personal allocation</t>
  </si>
  <si>
    <t xml:space="preserve">TOTAL COSTS</t>
  </si>
  <si>
    <t xml:space="preserve">BOTTOM LINE &amp; RUNWAY</t>
  </si>
  <si>
    <t xml:space="preserve">NET INCOME (Loss)</t>
  </si>
  <si>
    <t xml:space="preserve">Net margin %</t>
  </si>
  <si>
    <t xml:space="preserve">CASH BALANCE (end of month)</t>
  </si>
  <si>
    <t xml:space="preserve">RUNWAY (months remaining)</t>
  </si>
  <si>
    <t xml:space="preserve">Monthly burn (if losing money)</t>
  </si>
  <si>
    <t xml:space="preserve">Revenue needed to breakeven</t>
  </si>
  <si>
    <t xml:space="preserve">Revenue vs breakeven (%)</t>
  </si>
  <si>
    <t xml:space="preserve">Phase 1 uses Traffic Machine internally to manage creators and earn agency revenue. No SaaS customers yet.</t>
  </si>
  <si>
    <t xml:space="preserve">Change blue values on Assumptions to run scenarios. All formulas auto-update.</t>
  </si>
  <si>
    <t xml:space="preserve">Generated: 2026-03-17  |  NinfraEU / Traffic Machine</t>
  </si>
  <si>
    <t xml:space="preserve">Traffic Machine — Scenario Comparison (Phase 1)</t>
  </si>
  <si>
    <t xml:space="preserve">What-if: Slow Start / Base Case / Strong Start</t>
  </si>
  <si>
    <t xml:space="preserve">← P&amp;L &amp; Runway</t>
  </si>
  <si>
    <t xml:space="preserve">Parameter</t>
  </si>
  <si>
    <t xml:space="preserve">Slow Start</t>
  </si>
  <si>
    <t xml:space="preserve">Base Case</t>
  </si>
  <si>
    <t xml:space="preserve">Strong Start</t>
  </si>
  <si>
    <t xml:space="preserve">Avg gross rev / creator (€/mo)</t>
  </si>
  <si>
    <t xml:space="preserve">Platform fees (%)</t>
  </si>
  <si>
    <t xml:space="preserve">Month 1 ramp (%)</t>
  </si>
  <si>
    <t xml:space="preserve">Month 2 ramp (%)</t>
  </si>
  <si>
    <t xml:space="preserve">Month 3 ramp (%)</t>
  </si>
  <si>
    <t xml:space="preserve">Monthly fixed costs</t>
  </si>
  <si>
    <t xml:space="preserve">Starting cash</t>
  </si>
  <si>
    <t xml:space="preserve">3-MONTH PROJECTED OUTCOMES</t>
  </si>
  <si>
    <t xml:space="preserve">Metric</t>
  </si>
  <si>
    <t xml:space="preserve">Month 1 revenue</t>
  </si>
  <si>
    <t xml:space="preserve">Month 2 revenue</t>
  </si>
  <si>
    <t xml:space="preserve">Month 3 revenue</t>
  </si>
  <si>
    <t xml:space="preserve">Total 3-month revenue</t>
  </si>
  <si>
    <t xml:space="preserve">Total 3-month costs</t>
  </si>
  <si>
    <t xml:space="preserve">Net income (3 months)</t>
  </si>
  <si>
    <t xml:space="preserve">Cash at end of Month 3</t>
  </si>
  <si>
    <t xml:space="preserve">Avg monthly net income</t>
  </si>
  <si>
    <t xml:space="preserve">Months to breakeven (from Month 1)</t>
  </si>
  <si>
    <t xml:space="preserve">Phase 1 strategy: Use Traffic Machine to manage creators, earn agency revenue, and battle-test the product.</t>
  </si>
  <si>
    <t xml:space="preserve">Base case: 3 creators at €1,500 gross, 25% share = €900/mo at full capacity. Costs: €745. Near breakeven by Month 3.</t>
  </si>
  <si>
    <t xml:space="preserve">Strong start: 5 creators at €2,500 = €2,250/mo at full. Profitable from Month 1. This funds Phase 2 SaaS development.</t>
  </si>
  <si>
    <t xml:space="preserve">Slow start: 2 creators at €800 = only €240/mo at full. Cash runs out. You need at least the base case to survive.</t>
  </si>
  <si>
    <t xml:space="preserve">Key lever: Number of creators and their revenue quality. 1 extra good creator changes everything.</t>
  </si>
  <si>
    <t xml:space="preserve">Phase 2 trigger: When Traffic Machine is proven (Month 3+), launch SaaS at €49/mo to other agencies/creators.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</si>
</sst>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&quot; €&quot;;\(#,##0&quot; €)&quot;;\—"/>
    <numFmt numFmtId="167" formatCode="0.0%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i val="true"/>
      <sz val="11"/>
      <color rgb="FF7A7974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474D"/>
        <bgColor rgb="FF003366"/>
      </patternFill>
    </fill>
    <fill>
      <patternFill patternType="solid">
        <fgColor rgb="FFFFFDE7"/>
        <bgColor rgb="FFF9F9F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FD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993366"/>
      <rgbColor rgb="FFFFFDE7"/>
      <rgbColor rgb="FFE3F2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E8F5E9"/>
      <rgbColor rgb="FFF9F9F9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7974"/>
      <rgbColor rgb="FF969696"/>
      <rgbColor rgb="FF003366"/>
      <rgbColor rgb="FF339966"/>
      <rgbColor rgb="FF003300"/>
      <rgbColor rgb="FF333300"/>
      <rgbColor rgb="FFA84B2F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Revenue vs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080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&amp; Runway'!$C$6:$E$6</c:f>
              <c:multiLvlStrCache>
                <c:ptCount val="1"/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  <c:lvl>
                  <c:pt idx="0">
                    <c:v>Apr 2026</c:v>
                  </c:pt>
                </c:lvl>
              </c:multiLvlStrCache>
            </c:multiLvlStrRef>
          </c:cat>
          <c:val>
            <c:numRef>
              <c:f>'P&amp;L &amp; Runway'!$C$16:$E$16</c:f>
              <c:numCache>
                <c:formatCode>#,##0" €";\(#,##0" €)";\—</c:formatCode>
                <c:ptCount val="3"/>
                <c:pt idx="0">
                  <c:v>360</c:v>
                </c:pt>
                <c:pt idx="1">
                  <c:v>630</c:v>
                </c:pt>
                <c:pt idx="2">
                  <c:v>900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a84b2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&amp; Runway'!$C$6:$E$6</c:f>
              <c:multiLvlStrCache>
                <c:ptCount val="1"/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  <c:lvl>
                  <c:pt idx="0">
                    <c:v>Apr 2026</c:v>
                  </c:pt>
                </c:lvl>
              </c:multiLvlStrCache>
            </c:multiLvlStrRef>
          </c:cat>
          <c:val>
            <c:numRef>
              <c:f>'P&amp;L &amp; Runway'!$C$26:$E$26</c:f>
              <c:numCache>
                <c:formatCode>#,##0" €";\(#,##0" €)";\—</c:formatCode>
                <c:ptCount val="3"/>
                <c:pt idx="0">
                  <c:v>745</c:v>
                </c:pt>
                <c:pt idx="1">
                  <c:v>745</c:v>
                </c:pt>
                <c:pt idx="2">
                  <c:v>745</c:v>
                </c:pt>
              </c:numCache>
            </c:numRef>
          </c:val>
        </c:ser>
        <c:gapWidth val="150"/>
        <c:overlap val="0"/>
        <c:axId val="55557890"/>
        <c:axId val="93893705"/>
      </c:barChart>
      <c:catAx>
        <c:axId val="555578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893705"/>
        <c:crosses val="autoZero"/>
        <c:auto val="1"/>
        <c:lblAlgn val="ctr"/>
        <c:lblOffset val="100"/>
        <c:noMultiLvlLbl val="0"/>
      </c:catAx>
      <c:valAx>
        <c:axId val="938937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(#,##0&quot; €)&quot;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557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Cash Balance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"Cash Balance"</c:f>
              <c:strCache>
                <c:ptCount val="1"/>
                <c:pt idx="0">
                  <c:v>Cash Balance</c:v>
                </c:pt>
              </c:strCache>
            </c:strRef>
          </c:tx>
          <c:spPr>
            <a:solidFill>
              <a:srgbClr val="01696f"/>
            </a:solidFill>
            <a:ln w="47520">
              <a:solidFill>
                <a:srgbClr val="01696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'P&amp;L &amp; Runway'!$C$6:$E$6</c:f>
              <c:multiLvlStrCache>
                <c:ptCount val="1"/>
                <c:lvl>
                  <c:pt idx="0">
                    <c:v>Jun 2026</c:v>
                  </c:pt>
                </c:lvl>
                <c:lvl>
                  <c:pt idx="0">
                    <c:v>May 2026</c:v>
                  </c:pt>
                </c:lvl>
                <c:lvl>
                  <c:pt idx="0">
                    <c:v>Apr 2026</c:v>
                  </c:pt>
                </c:lvl>
              </c:multiLvlStrCache>
            </c:multiLvlStrRef>
          </c:cat>
          <c:val>
            <c:numRef>
              <c:f>'P&amp;L &amp; Runway'!$C$32:$E$32</c:f>
              <c:numCache>
                <c:formatCode>#,##0" €";\(#,##0" €)";\—</c:formatCode>
                <c:ptCount val="3"/>
                <c:pt idx="0">
                  <c:v>1615</c:v>
                </c:pt>
                <c:pt idx="1">
                  <c:v>1500</c:v>
                </c:pt>
                <c:pt idx="2">
                  <c:v>1655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655737"/>
        <c:axId val="73869923"/>
      </c:lineChart>
      <c:catAx>
        <c:axId val="286557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869923"/>
        <c:crosses val="autoZero"/>
        <c:auto val="1"/>
        <c:lblAlgn val="ctr"/>
        <c:lblOffset val="100"/>
        <c:noMultiLvlLbl val="0"/>
      </c:catAx>
      <c:valAx>
        <c:axId val="73869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(#,##0&quot; €)&quot;;\—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6557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160560</xdr:rowOff>
    </xdr:from>
    <xdr:to>
      <xdr:col>5</xdr:col>
      <xdr:colOff>417960</xdr:colOff>
      <xdr:row>59</xdr:row>
      <xdr:rowOff>140760</xdr:rowOff>
    </xdr:to>
    <xdr:graphicFrame>
      <xdr:nvGraphicFramePr>
        <xdr:cNvPr id="0" name="Chart 1"/>
        <xdr:cNvGraphicFramePr/>
      </xdr:nvGraphicFramePr>
      <xdr:xfrm>
        <a:off x="211320" y="7810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61</xdr:row>
      <xdr:rowOff>160560</xdr:rowOff>
    </xdr:from>
    <xdr:to>
      <xdr:col>5</xdr:col>
      <xdr:colOff>417960</xdr:colOff>
      <xdr:row>80</xdr:row>
      <xdr:rowOff>140760</xdr:rowOff>
    </xdr:to>
    <xdr:graphicFrame>
      <xdr:nvGraphicFramePr>
        <xdr:cNvPr id="1" name="Chart 2"/>
        <xdr:cNvGraphicFramePr/>
      </xdr:nvGraphicFramePr>
      <xdr:xfrm>
        <a:off x="211320" y="1181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B2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62"/>
  </cols>
  <sheetData>
    <row r="2" customFormat="false" ht="17.35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3" t="s">
        <v>3</v>
      </c>
    </row>
    <row r="7" customFormat="false" ht="15" hidden="false" customHeight="false" outlineLevel="0" collapsed="false">
      <c r="B7" s="4" t="s">
        <v>4</v>
      </c>
      <c r="C7" s="4"/>
      <c r="D7" s="4"/>
    </row>
    <row r="8" customFormat="false" ht="15" hidden="false" customHeight="false" outlineLevel="0" collapsed="false">
      <c r="B8" s="5" t="s">
        <v>5</v>
      </c>
      <c r="C8" s="5" t="s">
        <v>6</v>
      </c>
      <c r="D8" s="5" t="s">
        <v>7</v>
      </c>
    </row>
    <row r="9" customFormat="false" ht="31.5" hidden="false" customHeight="true" outlineLevel="0" collapsed="false">
      <c r="B9" s="6" t="s">
        <v>8</v>
      </c>
      <c r="C9" s="7" t="n">
        <v>3</v>
      </c>
      <c r="D9" s="8" t="s">
        <v>9</v>
      </c>
    </row>
    <row r="10" customFormat="false" ht="31.5" hidden="false" customHeight="true" outlineLevel="0" collapsed="false">
      <c r="B10" s="6" t="s">
        <v>10</v>
      </c>
      <c r="C10" s="9" t="n">
        <v>1500</v>
      </c>
      <c r="D10" s="8" t="s">
        <v>11</v>
      </c>
    </row>
    <row r="11" customFormat="false" ht="31.5" hidden="false" customHeight="true" outlineLevel="0" collapsed="false">
      <c r="B11" s="6" t="s">
        <v>12</v>
      </c>
      <c r="C11" s="10" t="n">
        <v>0.25</v>
      </c>
      <c r="D11" s="8" t="s">
        <v>13</v>
      </c>
    </row>
    <row r="12" customFormat="false" ht="31.5" hidden="false" customHeight="true" outlineLevel="0" collapsed="false">
      <c r="B12" s="6" t="s">
        <v>14</v>
      </c>
      <c r="C12" s="10" t="n">
        <v>0.4</v>
      </c>
      <c r="D12" s="8" t="s">
        <v>15</v>
      </c>
    </row>
    <row r="13" customFormat="false" ht="31.5" hidden="false" customHeight="true" outlineLevel="0" collapsed="false">
      <c r="B13" s="6" t="s">
        <v>16</v>
      </c>
      <c r="C13" s="10" t="n">
        <v>0.7</v>
      </c>
      <c r="D13" s="8" t="s">
        <v>17</v>
      </c>
    </row>
    <row r="14" customFormat="false" ht="31.5" hidden="false" customHeight="true" outlineLevel="0" collapsed="false">
      <c r="B14" s="6" t="s">
        <v>18</v>
      </c>
      <c r="C14" s="10" t="n">
        <v>1</v>
      </c>
      <c r="D14" s="8" t="s">
        <v>19</v>
      </c>
    </row>
    <row r="15" customFormat="false" ht="31.5" hidden="false" customHeight="true" outlineLevel="0" collapsed="false">
      <c r="B15" s="6" t="s">
        <v>20</v>
      </c>
      <c r="C15" s="10" t="n">
        <v>0.2</v>
      </c>
      <c r="D15" s="8" t="s">
        <v>21</v>
      </c>
    </row>
    <row r="16" customFormat="false" ht="15" hidden="false" customHeight="false" outlineLevel="0" collapsed="false">
      <c r="B16" s="11" t="s">
        <v>22</v>
      </c>
      <c r="C16" s="12" t="n">
        <f aca="false">C9*C10*(1-C15)*C11</f>
        <v>900</v>
      </c>
    </row>
    <row r="18" customFormat="false" ht="15" hidden="false" customHeight="false" outlineLevel="0" collapsed="false">
      <c r="B18" s="4" t="s">
        <v>23</v>
      </c>
      <c r="C18" s="4"/>
      <c r="D18" s="4"/>
    </row>
    <row r="19" customFormat="false" ht="15" hidden="false" customHeight="false" outlineLevel="0" collapsed="false">
      <c r="B19" s="5" t="s">
        <v>5</v>
      </c>
      <c r="C19" s="5" t="s">
        <v>6</v>
      </c>
      <c r="D19" s="5" t="s">
        <v>7</v>
      </c>
    </row>
    <row r="20" customFormat="false" ht="31.5" hidden="false" customHeight="true" outlineLevel="0" collapsed="false">
      <c r="B20" s="6" t="s">
        <v>24</v>
      </c>
      <c r="C20" s="9" t="n">
        <v>49</v>
      </c>
      <c r="D20" s="8" t="s">
        <v>25</v>
      </c>
    </row>
    <row r="21" customFormat="false" ht="31.5" hidden="false" customHeight="true" outlineLevel="0" collapsed="false">
      <c r="B21" s="6" t="s">
        <v>26</v>
      </c>
      <c r="C21" s="7" t="n">
        <v>5</v>
      </c>
      <c r="D21" s="8" t="s">
        <v>27</v>
      </c>
    </row>
    <row r="22" customFormat="false" ht="31.5" hidden="false" customHeight="true" outlineLevel="0" collapsed="false">
      <c r="B22" s="6" t="s">
        <v>28</v>
      </c>
      <c r="C22" s="10" t="n">
        <v>0.3</v>
      </c>
      <c r="D22" s="8" t="s">
        <v>29</v>
      </c>
    </row>
    <row r="23" customFormat="false" ht="31.5" hidden="false" customHeight="true" outlineLevel="0" collapsed="false">
      <c r="B23" s="6" t="s">
        <v>30</v>
      </c>
      <c r="C23" s="10" t="n">
        <v>0.08</v>
      </c>
      <c r="D23" s="8" t="s">
        <v>31</v>
      </c>
    </row>
    <row r="24" customFormat="false" ht="31.5" hidden="false" customHeight="true" outlineLevel="0" collapsed="false">
      <c r="B24" s="6" t="s">
        <v>32</v>
      </c>
      <c r="C24" s="13" t="s">
        <v>33</v>
      </c>
      <c r="D24" s="8" t="s">
        <v>34</v>
      </c>
    </row>
    <row r="26" customFormat="false" ht="15" hidden="false" customHeight="false" outlineLevel="0" collapsed="false">
      <c r="B26" s="4" t="s">
        <v>35</v>
      </c>
      <c r="C26" s="4"/>
      <c r="D26" s="4"/>
    </row>
    <row r="27" customFormat="false" ht="15" hidden="false" customHeight="false" outlineLevel="0" collapsed="false">
      <c r="B27" s="5" t="s">
        <v>36</v>
      </c>
      <c r="C27" s="5" t="s">
        <v>37</v>
      </c>
      <c r="D27" s="5" t="s">
        <v>7</v>
      </c>
    </row>
    <row r="28" customFormat="false" ht="31.5" hidden="false" customHeight="true" outlineLevel="0" collapsed="false">
      <c r="B28" s="6" t="s">
        <v>38</v>
      </c>
      <c r="C28" s="9" t="n">
        <v>80</v>
      </c>
      <c r="D28" s="8" t="s">
        <v>39</v>
      </c>
    </row>
    <row r="29" customFormat="false" ht="31.5" hidden="false" customHeight="true" outlineLevel="0" collapsed="false">
      <c r="B29" s="6" t="s">
        <v>40</v>
      </c>
      <c r="C29" s="9" t="n">
        <v>150</v>
      </c>
      <c r="D29" s="8" t="s">
        <v>41</v>
      </c>
    </row>
    <row r="30" customFormat="false" ht="31.5" hidden="false" customHeight="true" outlineLevel="0" collapsed="false">
      <c r="B30" s="6" t="s">
        <v>42</v>
      </c>
      <c r="C30" s="9" t="n">
        <v>50</v>
      </c>
      <c r="D30" s="8" t="s">
        <v>43</v>
      </c>
    </row>
    <row r="31" customFormat="false" ht="31.5" hidden="false" customHeight="true" outlineLevel="0" collapsed="false">
      <c r="B31" s="6" t="s">
        <v>44</v>
      </c>
      <c r="C31" s="9" t="n">
        <v>15</v>
      </c>
      <c r="D31" s="8" t="s">
        <v>45</v>
      </c>
    </row>
    <row r="32" customFormat="false" ht="31.5" hidden="false" customHeight="true" outlineLevel="0" collapsed="false">
      <c r="B32" s="6" t="s">
        <v>46</v>
      </c>
      <c r="C32" s="9" t="n">
        <v>100</v>
      </c>
      <c r="D32" s="8" t="s">
        <v>47</v>
      </c>
    </row>
    <row r="33" customFormat="false" ht="31.5" hidden="false" customHeight="true" outlineLevel="0" collapsed="false">
      <c r="B33" s="6" t="s">
        <v>48</v>
      </c>
      <c r="C33" s="9" t="n">
        <v>50</v>
      </c>
      <c r="D33" s="8" t="s">
        <v>49</v>
      </c>
    </row>
    <row r="34" customFormat="false" ht="31.5" hidden="false" customHeight="true" outlineLevel="0" collapsed="false">
      <c r="B34" s="6" t="s">
        <v>50</v>
      </c>
      <c r="C34" s="9" t="n">
        <v>300</v>
      </c>
      <c r="D34" s="8" t="s">
        <v>51</v>
      </c>
    </row>
    <row r="35" customFormat="false" ht="15" hidden="false" customHeight="false" outlineLevel="0" collapsed="false">
      <c r="B35" s="14" t="s">
        <v>52</v>
      </c>
      <c r="C35" s="15" t="n">
        <f aca="false">SUM(C28:C34)</f>
        <v>745</v>
      </c>
    </row>
    <row r="37" customFormat="false" ht="15" hidden="false" customHeight="false" outlineLevel="0" collapsed="false">
      <c r="B37" s="4" t="s">
        <v>53</v>
      </c>
      <c r="C37" s="4"/>
      <c r="D37" s="4"/>
    </row>
    <row r="38" customFormat="false" ht="15" hidden="false" customHeight="false" outlineLevel="0" collapsed="false">
      <c r="B38" s="5" t="s">
        <v>54</v>
      </c>
      <c r="C38" s="5" t="s">
        <v>6</v>
      </c>
      <c r="D38" s="5" t="s">
        <v>55</v>
      </c>
    </row>
    <row r="39" customFormat="false" ht="31.5" hidden="false" customHeight="true" outlineLevel="0" collapsed="false">
      <c r="B39" s="6" t="s">
        <v>56</v>
      </c>
      <c r="C39" s="9" t="n">
        <v>2000</v>
      </c>
      <c r="D39" s="8" t="s">
        <v>57</v>
      </c>
    </row>
    <row r="40" customFormat="false" ht="31.5" hidden="false" customHeight="true" outlineLevel="0" collapsed="false">
      <c r="B40" s="6" t="s">
        <v>58</v>
      </c>
      <c r="C40" s="9" t="n">
        <v>0</v>
      </c>
      <c r="D40" s="8" t="s">
        <v>59</v>
      </c>
    </row>
  </sheetData>
  <mergeCells count="6">
    <mergeCell ref="B2:D2"/>
    <mergeCell ref="B3:D3"/>
    <mergeCell ref="B7:D7"/>
    <mergeCell ref="B18:D18"/>
    <mergeCell ref="B26:D26"/>
    <mergeCell ref="B37:D37"/>
  </mergeCells>
  <hyperlinks>
    <hyperlink ref="B5" location="'P&amp;L &amp; Runway'!B2" display="→ P&amp;L &amp; Runway"/>
    <hyperlink ref="C5" location="'Scenarios'!B2" display="→ S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808D"/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60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61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62</v>
      </c>
      <c r="C4" s="3" t="s">
        <v>3</v>
      </c>
    </row>
    <row r="6" customFormat="false" ht="15" hidden="false" customHeight="false" outlineLevel="0" collapsed="false">
      <c r="B6" s="5"/>
      <c r="C6" s="5" t="s">
        <v>63</v>
      </c>
      <c r="D6" s="5" t="s">
        <v>64</v>
      </c>
      <c r="E6" s="5" t="s">
        <v>65</v>
      </c>
      <c r="F6" s="5" t="s">
        <v>66</v>
      </c>
    </row>
    <row r="7" customFormat="false" ht="15" hidden="false" customHeight="false" outlineLevel="0" collapsed="false">
      <c r="B7" s="4" t="s">
        <v>67</v>
      </c>
      <c r="C7" s="4"/>
      <c r="D7" s="4"/>
      <c r="E7" s="4"/>
      <c r="F7" s="4"/>
    </row>
    <row r="8" customFormat="false" ht="15" hidden="false" customHeight="false" outlineLevel="0" collapsed="false">
      <c r="B8" s="6" t="s">
        <v>68</v>
      </c>
      <c r="C8" s="16" t="n">
        <f aca="false">Assumptions!C9</f>
        <v>3</v>
      </c>
      <c r="D8" s="16" t="n">
        <f aca="false">Assumptions!C9</f>
        <v>3</v>
      </c>
      <c r="E8" s="16" t="n">
        <f aca="false">Assumptions!C9</f>
        <v>3</v>
      </c>
      <c r="F8" s="17"/>
    </row>
    <row r="9" customFormat="false" ht="15" hidden="false" customHeight="false" outlineLevel="0" collapsed="false">
      <c r="B9" s="6" t="s">
        <v>69</v>
      </c>
      <c r="C9" s="18" t="n">
        <f aca="false">Assumptions!C10</f>
        <v>1500</v>
      </c>
      <c r="D9" s="18" t="n">
        <f aca="false">Assumptions!C10</f>
        <v>1500</v>
      </c>
      <c r="E9" s="18" t="n">
        <f aca="false">Assumptions!C10</f>
        <v>1500</v>
      </c>
      <c r="F9" s="19"/>
    </row>
    <row r="10" customFormat="false" ht="15" hidden="false" customHeight="false" outlineLevel="0" collapsed="false">
      <c r="B10" s="6" t="s">
        <v>70</v>
      </c>
      <c r="C10" s="20" t="n">
        <f aca="false">Assumptions!C12</f>
        <v>0.4</v>
      </c>
      <c r="D10" s="20" t="n">
        <f aca="false">Assumptions!C13</f>
        <v>0.7</v>
      </c>
      <c r="E10" s="20" t="n">
        <f aca="false">Assumptions!C14</f>
        <v>1</v>
      </c>
      <c r="F10" s="21"/>
    </row>
    <row r="11" customFormat="false" ht="15" hidden="false" customHeight="false" outlineLevel="0" collapsed="false">
      <c r="B11" s="6" t="s">
        <v>71</v>
      </c>
      <c r="C11" s="19" t="n">
        <f aca="false">C8*C9*C10</f>
        <v>1800</v>
      </c>
      <c r="D11" s="19" t="n">
        <f aca="false">D8*D9*D10</f>
        <v>3150</v>
      </c>
      <c r="E11" s="19" t="n">
        <f aca="false">E8*E9*E10</f>
        <v>4500</v>
      </c>
      <c r="F11" s="19" t="n">
        <f aca="false">SUM(C11:E11)</f>
        <v>9450</v>
      </c>
    </row>
    <row r="12" customFormat="false" ht="15" hidden="false" customHeight="false" outlineLevel="0" collapsed="false">
      <c r="B12" s="6" t="s">
        <v>72</v>
      </c>
      <c r="C12" s="19" t="n">
        <f aca="false">-C11*Assumptions!C15</f>
        <v>-360</v>
      </c>
      <c r="D12" s="19" t="n">
        <f aca="false">-D11*Assumptions!C15</f>
        <v>-630</v>
      </c>
      <c r="E12" s="19" t="n">
        <f aca="false">-E11*Assumptions!C15</f>
        <v>-900</v>
      </c>
      <c r="F12" s="19" t="n">
        <f aca="false">SUM(C12:E12)</f>
        <v>-1890</v>
      </c>
    </row>
    <row r="13" customFormat="false" ht="15" hidden="false" customHeight="false" outlineLevel="0" collapsed="false">
      <c r="B13" s="6" t="s">
        <v>73</v>
      </c>
      <c r="C13" s="19" t="n">
        <f aca="false">C11+C12</f>
        <v>1440</v>
      </c>
      <c r="D13" s="19" t="n">
        <f aca="false">D11+D12</f>
        <v>2520</v>
      </c>
      <c r="E13" s="19" t="n">
        <f aca="false">E11+E12</f>
        <v>3600</v>
      </c>
      <c r="F13" s="19" t="n">
        <f aca="false">SUM(C13:E13)</f>
        <v>7560</v>
      </c>
    </row>
    <row r="14" customFormat="false" ht="15" hidden="false" customHeight="false" outlineLevel="0" collapsed="false">
      <c r="B14" s="11" t="s">
        <v>74</v>
      </c>
      <c r="C14" s="22" t="n">
        <f aca="false">C13*Assumptions!C11</f>
        <v>360</v>
      </c>
      <c r="D14" s="22" t="n">
        <f aca="false">D13*Assumptions!C11</f>
        <v>630</v>
      </c>
      <c r="E14" s="22" t="n">
        <f aca="false">E13*Assumptions!C11</f>
        <v>900</v>
      </c>
      <c r="F14" s="22" t="n">
        <f aca="false">SUM(C14:E14)</f>
        <v>1890</v>
      </c>
    </row>
    <row r="15" customFormat="false" ht="15" hidden="false" customHeight="false" outlineLevel="0" collapsed="false">
      <c r="B15" s="6" t="s">
        <v>75</v>
      </c>
      <c r="C15" s="18" t="n">
        <f aca="false">Assumptions!C40</f>
        <v>0</v>
      </c>
      <c r="D15" s="18" t="n">
        <f aca="false">Assumptions!C40</f>
        <v>0</v>
      </c>
      <c r="E15" s="18" t="n">
        <f aca="false">Assumptions!C40</f>
        <v>0</v>
      </c>
      <c r="F15" s="19" t="n">
        <f aca="false">SUM(C15:E15)</f>
        <v>0</v>
      </c>
    </row>
    <row r="16" customFormat="false" ht="15" hidden="false" customHeight="false" outlineLevel="0" collapsed="false">
      <c r="B16" s="14" t="s">
        <v>76</v>
      </c>
      <c r="C16" s="23" t="n">
        <f aca="false">C14+C15</f>
        <v>360</v>
      </c>
      <c r="D16" s="23" t="n">
        <f aca="false">D14+D15</f>
        <v>630</v>
      </c>
      <c r="E16" s="23" t="n">
        <f aca="false">E14+E15</f>
        <v>900</v>
      </c>
      <c r="F16" s="23" t="n">
        <f aca="false">F14+F15</f>
        <v>1890</v>
      </c>
    </row>
    <row r="18" customFormat="false" ht="15" hidden="false" customHeight="false" outlineLevel="0" collapsed="false">
      <c r="B18" s="4" t="s">
        <v>77</v>
      </c>
      <c r="C18" s="4"/>
      <c r="D18" s="4"/>
      <c r="E18" s="4"/>
      <c r="F18" s="4"/>
    </row>
    <row r="19" customFormat="false" ht="15" hidden="false" customHeight="false" outlineLevel="0" collapsed="false">
      <c r="B19" s="6" t="s">
        <v>78</v>
      </c>
      <c r="C19" s="18" t="n">
        <f aca="false">Assumptions!C28</f>
        <v>80</v>
      </c>
      <c r="D19" s="18" t="n">
        <f aca="false">Assumptions!C28</f>
        <v>80</v>
      </c>
      <c r="E19" s="18" t="n">
        <f aca="false">Assumptions!C28</f>
        <v>80</v>
      </c>
      <c r="F19" s="19" t="n">
        <f aca="false">SUM(C19:E19)</f>
        <v>240</v>
      </c>
    </row>
    <row r="20" customFormat="false" ht="15" hidden="false" customHeight="false" outlineLevel="0" collapsed="false">
      <c r="B20" s="6" t="s">
        <v>79</v>
      </c>
      <c r="C20" s="18" t="n">
        <f aca="false">Assumptions!C29</f>
        <v>150</v>
      </c>
      <c r="D20" s="18" t="n">
        <f aca="false">Assumptions!C29</f>
        <v>150</v>
      </c>
      <c r="E20" s="18" t="n">
        <f aca="false">Assumptions!C29</f>
        <v>150</v>
      </c>
      <c r="F20" s="19" t="n">
        <f aca="false">SUM(C20:E20)</f>
        <v>450</v>
      </c>
    </row>
    <row r="21" customFormat="false" ht="15" hidden="false" customHeight="false" outlineLevel="0" collapsed="false">
      <c r="B21" s="6" t="s">
        <v>80</v>
      </c>
      <c r="C21" s="18" t="n">
        <f aca="false">Assumptions!C30</f>
        <v>50</v>
      </c>
      <c r="D21" s="18" t="n">
        <f aca="false">Assumptions!C30</f>
        <v>50</v>
      </c>
      <c r="E21" s="18" t="n">
        <f aca="false">Assumptions!C30</f>
        <v>50</v>
      </c>
      <c r="F21" s="19" t="n">
        <f aca="false">SUM(C21:E21)</f>
        <v>150</v>
      </c>
    </row>
    <row r="22" customFormat="false" ht="15" hidden="false" customHeight="false" outlineLevel="0" collapsed="false">
      <c r="B22" s="6" t="s">
        <v>81</v>
      </c>
      <c r="C22" s="18" t="n">
        <f aca="false">Assumptions!C31</f>
        <v>15</v>
      </c>
      <c r="D22" s="18" t="n">
        <f aca="false">Assumptions!C31</f>
        <v>15</v>
      </c>
      <c r="E22" s="18" t="n">
        <f aca="false">Assumptions!C31</f>
        <v>15</v>
      </c>
      <c r="F22" s="19" t="n">
        <f aca="false">SUM(C22:E22)</f>
        <v>45</v>
      </c>
    </row>
    <row r="23" customFormat="false" ht="15" hidden="false" customHeight="false" outlineLevel="0" collapsed="false">
      <c r="B23" s="6" t="s">
        <v>82</v>
      </c>
      <c r="C23" s="18" t="n">
        <f aca="false">Assumptions!C32</f>
        <v>100</v>
      </c>
      <c r="D23" s="18" t="n">
        <f aca="false">Assumptions!C32</f>
        <v>100</v>
      </c>
      <c r="E23" s="18" t="n">
        <f aca="false">Assumptions!C32</f>
        <v>100</v>
      </c>
      <c r="F23" s="19" t="n">
        <f aca="false">SUM(C23:E23)</f>
        <v>300</v>
      </c>
    </row>
    <row r="24" customFormat="false" ht="15" hidden="false" customHeight="false" outlineLevel="0" collapsed="false">
      <c r="B24" s="6" t="s">
        <v>83</v>
      </c>
      <c r="C24" s="18" t="n">
        <f aca="false">Assumptions!C33</f>
        <v>50</v>
      </c>
      <c r="D24" s="18" t="n">
        <f aca="false">Assumptions!C33</f>
        <v>50</v>
      </c>
      <c r="E24" s="18" t="n">
        <f aca="false">Assumptions!C33</f>
        <v>50</v>
      </c>
      <c r="F24" s="19" t="n">
        <f aca="false">SUM(C24:E24)</f>
        <v>150</v>
      </c>
    </row>
    <row r="25" customFormat="false" ht="15" hidden="false" customHeight="false" outlineLevel="0" collapsed="false">
      <c r="B25" s="6" t="s">
        <v>84</v>
      </c>
      <c r="C25" s="18" t="n">
        <f aca="false">Assumptions!C34</f>
        <v>300</v>
      </c>
      <c r="D25" s="18" t="n">
        <f aca="false">Assumptions!C34</f>
        <v>300</v>
      </c>
      <c r="E25" s="18" t="n">
        <f aca="false">Assumptions!C34</f>
        <v>300</v>
      </c>
      <c r="F25" s="19" t="n">
        <f aca="false">SUM(C25:E25)</f>
        <v>900</v>
      </c>
    </row>
    <row r="26" customFormat="false" ht="15" hidden="false" customHeight="false" outlineLevel="0" collapsed="false">
      <c r="B26" s="14" t="s">
        <v>85</v>
      </c>
      <c r="C26" s="23" t="n">
        <f aca="false">SUM(C19:C25)</f>
        <v>745</v>
      </c>
      <c r="D26" s="23" t="n">
        <f aca="false">SUM(D19:D25)</f>
        <v>745</v>
      </c>
      <c r="E26" s="23" t="n">
        <f aca="false">SUM(E19:E25)</f>
        <v>745</v>
      </c>
      <c r="F26" s="23" t="n">
        <f aca="false">SUM(F19:F25)</f>
        <v>2235</v>
      </c>
    </row>
    <row r="28" customFormat="false" ht="15" hidden="false" customHeight="false" outlineLevel="0" collapsed="false">
      <c r="B28" s="4" t="s">
        <v>86</v>
      </c>
      <c r="C28" s="4"/>
      <c r="D28" s="4"/>
      <c r="E28" s="4"/>
      <c r="F28" s="4"/>
    </row>
    <row r="29" customFormat="false" ht="15" hidden="false" customHeight="false" outlineLevel="0" collapsed="false">
      <c r="B29" s="24" t="s">
        <v>87</v>
      </c>
      <c r="C29" s="25" t="n">
        <f aca="false">C16-C26</f>
        <v>-385</v>
      </c>
      <c r="D29" s="25" t="n">
        <f aca="false">D16-D26</f>
        <v>-115</v>
      </c>
      <c r="E29" s="25" t="n">
        <f aca="false">E16-E26</f>
        <v>155</v>
      </c>
      <c r="F29" s="25" t="n">
        <f aca="false">F16-F26</f>
        <v>-345</v>
      </c>
    </row>
    <row r="30" customFormat="false" ht="15" hidden="false" customHeight="false" outlineLevel="0" collapsed="false">
      <c r="B30" s="6" t="s">
        <v>88</v>
      </c>
      <c r="C30" s="21" t="n">
        <f aca="false">IF(C16=0,0,C29/C16)</f>
        <v>-1.06944444444444</v>
      </c>
      <c r="D30" s="21" t="n">
        <f aca="false">IF(D16=0,0,D29/D16)</f>
        <v>-0.182539682539683</v>
      </c>
      <c r="E30" s="21" t="n">
        <f aca="false">IF(E16=0,0,E29/E16)</f>
        <v>0.172222222222222</v>
      </c>
      <c r="F30" s="21" t="n">
        <f aca="false">IF(F16=0,0,F29/F16)</f>
        <v>-0.182539682539683</v>
      </c>
    </row>
    <row r="32" customFormat="false" ht="15" hidden="false" customHeight="false" outlineLevel="0" collapsed="false">
      <c r="B32" s="26" t="s">
        <v>89</v>
      </c>
      <c r="C32" s="27" t="n">
        <f aca="false">Assumptions!C39+C29</f>
        <v>1615</v>
      </c>
      <c r="D32" s="27" t="n">
        <f aca="false">C32+D29</f>
        <v>1500</v>
      </c>
      <c r="E32" s="27" t="n">
        <f aca="false">D32+E29</f>
        <v>1655</v>
      </c>
      <c r="F32" s="27" t="n">
        <f aca="false">E32</f>
        <v>1655</v>
      </c>
    </row>
    <row r="33" customFormat="false" ht="15" hidden="false" customHeight="false" outlineLevel="0" collapsed="false">
      <c r="B33" s="26" t="s">
        <v>90</v>
      </c>
      <c r="C33" s="28" t="n">
        <f aca="false">IF(C29&gt;=0,99,IF(C32&lt;=0,0,C32/(-C29)))</f>
        <v>4.1948051948052</v>
      </c>
      <c r="D33" s="28" t="n">
        <f aca="false">IF(D29&gt;=0,99,IF(D32&lt;=0,0,D32/(-D29)))</f>
        <v>13.0434782608696</v>
      </c>
      <c r="E33" s="28" t="n">
        <f aca="false">IF(E29&gt;=0,99,IF(E32&lt;=0,0,E32/(-E29)))</f>
        <v>99</v>
      </c>
      <c r="F33" s="29"/>
    </row>
    <row r="34" customFormat="false" ht="15" hidden="false" customHeight="false" outlineLevel="0" collapsed="false">
      <c r="B34" s="6" t="s">
        <v>91</v>
      </c>
      <c r="C34" s="19" t="n">
        <f aca="false">IF(C29&lt;0,-C29,0)</f>
        <v>385</v>
      </c>
      <c r="D34" s="19" t="n">
        <f aca="false">IF(D29&lt;0,-D29,0)</f>
        <v>115</v>
      </c>
      <c r="E34" s="19" t="n">
        <f aca="false">IF(E29&lt;0,-E29,0)</f>
        <v>0</v>
      </c>
      <c r="F34" s="19" t="n">
        <f aca="false">SUM(C34:E34)</f>
        <v>500</v>
      </c>
    </row>
    <row r="35" customFormat="false" ht="15" hidden="false" customHeight="false" outlineLevel="0" collapsed="false">
      <c r="B35" s="6" t="s">
        <v>92</v>
      </c>
      <c r="C35" s="19" t="n">
        <f aca="false">C26</f>
        <v>745</v>
      </c>
      <c r="D35" s="19" t="n">
        <f aca="false">D26</f>
        <v>745</v>
      </c>
      <c r="E35" s="19" t="n">
        <f aca="false">E26</f>
        <v>745</v>
      </c>
      <c r="F35" s="19"/>
    </row>
    <row r="36" customFormat="false" ht="15" hidden="false" customHeight="false" outlineLevel="0" collapsed="false">
      <c r="B36" s="6" t="s">
        <v>93</v>
      </c>
      <c r="C36" s="21" t="n">
        <f aca="false">IF(C26=0,0,C16/C26)</f>
        <v>0.483221476510067</v>
      </c>
      <c r="D36" s="21" t="n">
        <f aca="false">IF(D26=0,0,D16/D26)</f>
        <v>0.845637583892618</v>
      </c>
      <c r="E36" s="21" t="n">
        <f aca="false">IF(E26=0,0,E16/E26)</f>
        <v>1.20805369127517</v>
      </c>
      <c r="F36" s="21"/>
    </row>
    <row r="38" customFormat="false" ht="15" hidden="false" customHeight="false" outlineLevel="0" collapsed="false">
      <c r="B38" s="30" t="s">
        <v>94</v>
      </c>
      <c r="C38" s="30"/>
      <c r="D38" s="30"/>
      <c r="E38" s="30"/>
      <c r="F38" s="30"/>
    </row>
    <row r="39" customFormat="false" ht="15" hidden="false" customHeight="false" outlineLevel="0" collapsed="false">
      <c r="B39" s="30" t="s">
        <v>95</v>
      </c>
      <c r="C39" s="30"/>
      <c r="D39" s="30"/>
      <c r="E39" s="30"/>
      <c r="F39" s="30"/>
    </row>
    <row r="40" customFormat="false" ht="15" hidden="false" customHeight="false" outlineLevel="0" collapsed="false">
      <c r="B40" s="30" t="s">
        <v>96</v>
      </c>
      <c r="C40" s="30"/>
      <c r="D40" s="30"/>
      <c r="E40" s="30"/>
      <c r="F40" s="30"/>
    </row>
  </sheetData>
  <mergeCells count="8">
    <mergeCell ref="B2:F2"/>
    <mergeCell ref="B3:F3"/>
    <mergeCell ref="B7:F7"/>
    <mergeCell ref="B18:F18"/>
    <mergeCell ref="B28:F28"/>
    <mergeCell ref="B38:F38"/>
    <mergeCell ref="B39:F39"/>
    <mergeCell ref="B40:F40"/>
  </mergeCells>
  <hyperlinks>
    <hyperlink ref="B4" location="'Assumptions'!B2" display="← Assumptions"/>
    <hyperlink ref="C4" location="'Scenarios'!B2" display="→ Scenar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4B2F"/>
    <pageSetUpPr fitToPage="false"/>
  </sheetPr>
  <dimension ref="B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5" min="3" style="0" width="20"/>
  </cols>
  <sheetData>
    <row r="2" customFormat="false" ht="17.35" hidden="false" customHeight="false" outlineLevel="0" collapsed="false">
      <c r="B2" s="1" t="s">
        <v>97</v>
      </c>
      <c r="C2" s="1"/>
      <c r="D2" s="1"/>
      <c r="E2" s="1"/>
    </row>
    <row r="3" customFormat="false" ht="15" hidden="false" customHeight="false" outlineLevel="0" collapsed="false">
      <c r="B3" s="2" t="s">
        <v>98</v>
      </c>
      <c r="C3" s="2"/>
      <c r="D3" s="2"/>
      <c r="E3" s="2"/>
    </row>
    <row r="4" customFormat="false" ht="15" hidden="false" customHeight="false" outlineLevel="0" collapsed="false">
      <c r="B4" s="3" t="s">
        <v>62</v>
      </c>
      <c r="C4" s="3" t="s">
        <v>99</v>
      </c>
    </row>
    <row r="6" customFormat="false" ht="15" hidden="false" customHeight="false" outlineLevel="0" collapsed="false">
      <c r="B6" s="5" t="s">
        <v>100</v>
      </c>
      <c r="C6" s="5" t="s">
        <v>101</v>
      </c>
      <c r="D6" s="5" t="s">
        <v>102</v>
      </c>
      <c r="E6" s="5" t="s">
        <v>103</v>
      </c>
    </row>
    <row r="7" customFormat="false" ht="15" hidden="false" customHeight="false" outlineLevel="0" collapsed="false">
      <c r="B7" s="6" t="s">
        <v>68</v>
      </c>
      <c r="C7" s="7" t="n">
        <v>2</v>
      </c>
      <c r="D7" s="7" t="n">
        <v>3</v>
      </c>
      <c r="E7" s="7" t="n">
        <v>5</v>
      </c>
    </row>
    <row r="8" customFormat="false" ht="15" hidden="false" customHeight="false" outlineLevel="0" collapsed="false">
      <c r="B8" s="6" t="s">
        <v>104</v>
      </c>
      <c r="C8" s="9" t="n">
        <v>800</v>
      </c>
      <c r="D8" s="9" t="n">
        <v>1500</v>
      </c>
      <c r="E8" s="9" t="n">
        <v>2500</v>
      </c>
    </row>
    <row r="9" customFormat="false" ht="15" hidden="false" customHeight="false" outlineLevel="0" collapsed="false">
      <c r="B9" s="6" t="s">
        <v>12</v>
      </c>
      <c r="C9" s="10" t="n">
        <v>0.2</v>
      </c>
      <c r="D9" s="10" t="n">
        <v>0.25</v>
      </c>
      <c r="E9" s="10" t="n">
        <v>0.3</v>
      </c>
    </row>
    <row r="10" customFormat="false" ht="15" hidden="false" customHeight="false" outlineLevel="0" collapsed="false">
      <c r="B10" s="6" t="s">
        <v>105</v>
      </c>
      <c r="C10" s="10" t="n">
        <v>0.2</v>
      </c>
      <c r="D10" s="10" t="n">
        <v>0.2</v>
      </c>
      <c r="E10" s="10" t="n">
        <v>0.2</v>
      </c>
    </row>
    <row r="11" customFormat="false" ht="15" hidden="false" customHeight="false" outlineLevel="0" collapsed="false">
      <c r="B11" s="6" t="s">
        <v>106</v>
      </c>
      <c r="C11" s="10" t="n">
        <v>0.25</v>
      </c>
      <c r="D11" s="10" t="n">
        <v>0.4</v>
      </c>
      <c r="E11" s="10" t="n">
        <v>0.6</v>
      </c>
    </row>
    <row r="12" customFormat="false" ht="15" hidden="false" customHeight="false" outlineLevel="0" collapsed="false">
      <c r="B12" s="6" t="s">
        <v>107</v>
      </c>
      <c r="C12" s="10" t="n">
        <v>0.5</v>
      </c>
      <c r="D12" s="10" t="n">
        <v>0.7</v>
      </c>
      <c r="E12" s="10" t="n">
        <v>0.85</v>
      </c>
    </row>
    <row r="13" customFormat="false" ht="15" hidden="false" customHeight="false" outlineLevel="0" collapsed="false">
      <c r="B13" s="6" t="s">
        <v>108</v>
      </c>
      <c r="C13" s="10" t="n">
        <v>0.75</v>
      </c>
      <c r="D13" s="10" t="n">
        <v>1</v>
      </c>
      <c r="E13" s="10" t="n">
        <v>1</v>
      </c>
    </row>
    <row r="14" customFormat="false" ht="15" hidden="false" customHeight="false" outlineLevel="0" collapsed="false">
      <c r="B14" s="6" t="s">
        <v>109</v>
      </c>
      <c r="C14" s="9" t="n">
        <v>745</v>
      </c>
      <c r="D14" s="9" t="n">
        <v>745</v>
      </c>
      <c r="E14" s="9" t="n">
        <v>745</v>
      </c>
    </row>
    <row r="15" customFormat="false" ht="15" hidden="false" customHeight="false" outlineLevel="0" collapsed="false">
      <c r="B15" s="6" t="s">
        <v>110</v>
      </c>
      <c r="C15" s="9" t="n">
        <v>2000</v>
      </c>
      <c r="D15" s="9" t="n">
        <v>2000</v>
      </c>
      <c r="E15" s="9" t="n">
        <v>2000</v>
      </c>
    </row>
    <row r="17" customFormat="false" ht="15" hidden="false" customHeight="false" outlineLevel="0" collapsed="false">
      <c r="B17" s="4" t="s">
        <v>111</v>
      </c>
      <c r="C17" s="4"/>
      <c r="D17" s="4"/>
      <c r="E17" s="4"/>
    </row>
    <row r="18" customFormat="false" ht="15" hidden="false" customHeight="false" outlineLevel="0" collapsed="false">
      <c r="B18" s="5" t="s">
        <v>112</v>
      </c>
      <c r="C18" s="5" t="s">
        <v>101</v>
      </c>
      <c r="D18" s="5" t="s">
        <v>102</v>
      </c>
      <c r="E18" s="5" t="s">
        <v>103</v>
      </c>
    </row>
    <row r="19" customFormat="false" ht="15" hidden="false" customHeight="false" outlineLevel="0" collapsed="false">
      <c r="B19" s="6" t="s">
        <v>113</v>
      </c>
      <c r="C19" s="19" t="n">
        <f aca="false">C7*C8*(1-C10)*C9*C11</f>
        <v>64</v>
      </c>
      <c r="D19" s="19" t="n">
        <f aca="false">D7*D8*(1-D10)*D9*D11</f>
        <v>360</v>
      </c>
      <c r="E19" s="19" t="n">
        <f aca="false">E7*E8*(1-E10)*E9*E11</f>
        <v>1800</v>
      </c>
    </row>
    <row r="20" customFormat="false" ht="15" hidden="false" customHeight="false" outlineLevel="0" collapsed="false">
      <c r="B20" s="6" t="s">
        <v>114</v>
      </c>
      <c r="C20" s="19" t="n">
        <f aca="false">C7*C8*(1-C10)*C9*C12</f>
        <v>128</v>
      </c>
      <c r="D20" s="19" t="n">
        <f aca="false">D7*D8*(1-D10)*D9*D12</f>
        <v>630</v>
      </c>
      <c r="E20" s="19" t="n">
        <f aca="false">E7*E8*(1-E10)*E9*E12</f>
        <v>2550</v>
      </c>
    </row>
    <row r="21" customFormat="false" ht="15" hidden="false" customHeight="false" outlineLevel="0" collapsed="false">
      <c r="B21" s="6" t="s">
        <v>115</v>
      </c>
      <c r="C21" s="19" t="n">
        <f aca="false">C7*C8*(1-C10)*C9*C13</f>
        <v>192</v>
      </c>
      <c r="D21" s="19" t="n">
        <f aca="false">D7*D8*(1-D10)*D9*D13</f>
        <v>900</v>
      </c>
      <c r="E21" s="19" t="n">
        <f aca="false">E7*E8*(1-E10)*E9*E13</f>
        <v>3000</v>
      </c>
    </row>
    <row r="22" customFormat="false" ht="15" hidden="false" customHeight="false" outlineLevel="0" collapsed="false">
      <c r="B22" s="24" t="s">
        <v>116</v>
      </c>
      <c r="C22" s="27" t="n">
        <f aca="false">C19+C20+C21</f>
        <v>384</v>
      </c>
      <c r="D22" s="27" t="n">
        <f aca="false">D19+D20+D21</f>
        <v>1890</v>
      </c>
      <c r="E22" s="27" t="n">
        <f aca="false">E19+E20+E21</f>
        <v>7350</v>
      </c>
    </row>
    <row r="23" customFormat="false" ht="15" hidden="false" customHeight="false" outlineLevel="0" collapsed="false">
      <c r="B23" s="6" t="s">
        <v>117</v>
      </c>
      <c r="C23" s="19" t="n">
        <f aca="false">C14*3</f>
        <v>2235</v>
      </c>
      <c r="D23" s="19" t="n">
        <f aca="false">D14*3</f>
        <v>2235</v>
      </c>
      <c r="E23" s="19" t="n">
        <f aca="false">E14*3</f>
        <v>2235</v>
      </c>
    </row>
    <row r="24" customFormat="false" ht="15" hidden="false" customHeight="false" outlineLevel="0" collapsed="false">
      <c r="B24" s="24" t="s">
        <v>118</v>
      </c>
      <c r="C24" s="27" t="n">
        <f aca="false">C22-C23</f>
        <v>-1851</v>
      </c>
      <c r="D24" s="27" t="n">
        <f aca="false">D22-D23</f>
        <v>-345</v>
      </c>
      <c r="E24" s="27" t="n">
        <f aca="false">E22-E23</f>
        <v>5115</v>
      </c>
    </row>
    <row r="25" customFormat="false" ht="15" hidden="false" customHeight="false" outlineLevel="0" collapsed="false">
      <c r="B25" s="24" t="s">
        <v>119</v>
      </c>
      <c r="C25" s="27" t="n">
        <f aca="false">C15+C24</f>
        <v>149</v>
      </c>
      <c r="D25" s="27" t="n">
        <f aca="false">D15+D24</f>
        <v>1655</v>
      </c>
      <c r="E25" s="27" t="n">
        <f aca="false">E15+E24</f>
        <v>7115</v>
      </c>
    </row>
    <row r="26" customFormat="false" ht="15" hidden="false" customHeight="false" outlineLevel="0" collapsed="false">
      <c r="B26" s="6" t="s">
        <v>120</v>
      </c>
      <c r="C26" s="19" t="n">
        <f aca="false">C24/3</f>
        <v>-617</v>
      </c>
      <c r="D26" s="19" t="n">
        <f aca="false">D24/3</f>
        <v>-115</v>
      </c>
      <c r="E26" s="19" t="n">
        <f aca="false">E24/3</f>
        <v>1705</v>
      </c>
    </row>
    <row r="27" customFormat="false" ht="15" hidden="false" customHeight="false" outlineLevel="0" collapsed="false">
      <c r="B27" s="6" t="s">
        <v>121</v>
      </c>
      <c r="C27" s="31" t="str">
        <f aca="false">IF(C21&gt;=C14,"Already there",IF(C21=0,"Never",ROUND(C14/C21*3,1)&amp;" months"))</f>
        <v>11.6 months</v>
      </c>
      <c r="D27" s="31" t="str">
        <f aca="false">IF(D21&gt;=D14,"Already there",IF(D21=0,"Never",ROUND(D14/D21*3,1)&amp;" months"))</f>
        <v>Already there</v>
      </c>
      <c r="E27" s="31" t="str">
        <f aca="false">IF(E21&gt;=E14,"Already there",IF(E21=0,"Never",ROUND(E14/E21*3,1)&amp;" months"))</f>
        <v>Already there</v>
      </c>
    </row>
    <row r="30" customFormat="false" ht="30" hidden="false" customHeight="true" outlineLevel="0" collapsed="false">
      <c r="B30" s="32" t="s">
        <v>122</v>
      </c>
      <c r="C30" s="32"/>
      <c r="D30" s="32"/>
      <c r="E30" s="32"/>
    </row>
    <row r="31" customFormat="false" ht="30" hidden="false" customHeight="true" outlineLevel="0" collapsed="false">
      <c r="B31" s="32" t="s">
        <v>123</v>
      </c>
      <c r="C31" s="32"/>
      <c r="D31" s="32"/>
      <c r="E31" s="32"/>
    </row>
    <row r="32" customFormat="false" ht="30" hidden="false" customHeight="true" outlineLevel="0" collapsed="false">
      <c r="B32" s="32" t="s">
        <v>124</v>
      </c>
      <c r="C32" s="32"/>
      <c r="D32" s="32"/>
      <c r="E32" s="32"/>
    </row>
    <row r="33" customFormat="false" ht="30" hidden="false" customHeight="true" outlineLevel="0" collapsed="false">
      <c r="B33" s="32" t="s">
        <v>125</v>
      </c>
      <c r="C33" s="32"/>
      <c r="D33" s="32"/>
      <c r="E33" s="32"/>
    </row>
    <row r="34" customFormat="false" ht="30" hidden="false" customHeight="true" outlineLevel="0" collapsed="false">
      <c r="B34" s="32" t="s">
        <v>126</v>
      </c>
      <c r="C34" s="32"/>
      <c r="D34" s="32"/>
      <c r="E34" s="32"/>
    </row>
    <row r="35" customFormat="false" ht="30" hidden="false" customHeight="true" outlineLevel="0" collapsed="false">
      <c r="B35" s="32" t="s">
        <v>127</v>
      </c>
      <c r="C35" s="32"/>
      <c r="D35" s="32"/>
      <c r="E35" s="32"/>
    </row>
    <row r="37" customFormat="false" ht="15" hidden="false" customHeight="false" outlineLevel="0" collapsed="false">
      <c r="B37" s="30" t="s">
        <v>96</v>
      </c>
      <c r="C37" s="30"/>
      <c r="D37" s="30"/>
      <c r="E37" s="30"/>
    </row>
  </sheetData>
  <mergeCells count="10">
    <mergeCell ref="B2:E2"/>
    <mergeCell ref="B3:E3"/>
    <mergeCell ref="B17:E17"/>
    <mergeCell ref="B30:E30"/>
    <mergeCell ref="B31:E31"/>
    <mergeCell ref="B32:E32"/>
    <mergeCell ref="B33:E33"/>
    <mergeCell ref="B34:E34"/>
    <mergeCell ref="B35:E35"/>
    <mergeCell ref="B37:E37"/>
  </mergeCells>
  <hyperlinks>
    <hyperlink ref="B4" location="'Assumptions'!B2" display="← Assumptions"/>
    <hyperlink ref="C4" location="'P&amp;L &amp; Runway'!B2" display="← P&amp;L &amp; Runwa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2026-03-17T11:31:09Z</dcterms:created>
  <dc:creator>openpyxl</dc:creator>
  <dc:description/>
  <dc:language>en-US</dc:language>
  <cp:lastModifiedBy/>
  <dcterms:modified xsi:type="dcterms:W3CDTF">2026-03-17T11:31:19Z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